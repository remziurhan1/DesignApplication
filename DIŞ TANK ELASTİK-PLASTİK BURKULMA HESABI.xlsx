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6" windowWidth="9600" windowHeight="7176"/>
  </bookViews>
  <sheets>
    <sheet name="Sayfa1" sheetId="1" r:id="rId1"/>
    <sheet name="Sayfa2" sheetId="2" r:id="rId2"/>
    <sheet name="Sayfa3" sheetId="3" r:id="rId3"/>
  </sheets>
  <calcPr calcId="144525"/>
</workbook>
</file>

<file path=xl/calcChain.xml><?xml version="1.0" encoding="utf-8"?>
<calcChain xmlns="http://schemas.openxmlformats.org/spreadsheetml/2006/main">
  <c r="D74" i="1" l="1"/>
  <c r="D75" i="1" s="1"/>
  <c r="G75" i="1" s="1"/>
  <c r="D49" i="1"/>
  <c r="D50" i="1"/>
  <c r="D44" i="1"/>
  <c r="D48" i="1"/>
  <c r="D64" i="1"/>
  <c r="D43" i="1"/>
  <c r="D38" i="1"/>
  <c r="D56" i="1" l="1"/>
  <c r="D11" i="1"/>
  <c r="D12" i="1" s="1"/>
  <c r="D16" i="1"/>
  <c r="D45" i="1"/>
  <c r="D63" i="1" l="1"/>
  <c r="D28" i="1"/>
  <c r="D40" i="1" s="1"/>
  <c r="D65" i="1" l="1"/>
</calcChain>
</file>

<file path=xl/sharedStrings.xml><?xml version="1.0" encoding="utf-8"?>
<sst xmlns="http://schemas.openxmlformats.org/spreadsheetml/2006/main" count="100" uniqueCount="73">
  <si>
    <t>Da</t>
  </si>
  <si>
    <t>L</t>
  </si>
  <si>
    <t>Se</t>
  </si>
  <si>
    <t>C1</t>
  </si>
  <si>
    <t>C2</t>
  </si>
  <si>
    <t>n</t>
  </si>
  <si>
    <t>Ls</t>
  </si>
  <si>
    <t>h</t>
  </si>
  <si>
    <t>Z</t>
  </si>
  <si>
    <t>E</t>
  </si>
  <si>
    <t>Sk</t>
  </si>
  <si>
    <t>v</t>
  </si>
  <si>
    <t>P1</t>
  </si>
  <si>
    <t>P2</t>
  </si>
  <si>
    <t>K</t>
  </si>
  <si>
    <t>S</t>
  </si>
  <si>
    <t>u</t>
  </si>
  <si>
    <t>Pv</t>
  </si>
  <si>
    <t>bar</t>
  </si>
  <si>
    <t>Sonuç</t>
  </si>
  <si>
    <t>Modulus of Elasticity</t>
  </si>
  <si>
    <t>Safety Factor For Elastic Buckling</t>
  </si>
  <si>
    <t>Shell Thickness</t>
  </si>
  <si>
    <t>Minus Tolerances</t>
  </si>
  <si>
    <t>Corrosion  Allowance</t>
  </si>
  <si>
    <t>Outer Diameter</t>
  </si>
  <si>
    <t>Buckling Length</t>
  </si>
  <si>
    <t>Poisson’s Ratio Of Material</t>
  </si>
  <si>
    <t>Out Of Roundness</t>
  </si>
  <si>
    <t>Safety Factor</t>
  </si>
  <si>
    <t xml:space="preserve">Maximum external pressure (elastic buckling condition)   </t>
  </si>
  <si>
    <t xml:space="preserve">Yield Strength for stiffener material </t>
  </si>
  <si>
    <t>b</t>
  </si>
  <si>
    <t>b1</t>
  </si>
  <si>
    <t>ring genişliği</t>
  </si>
  <si>
    <t>bm</t>
  </si>
  <si>
    <t>lm</t>
  </si>
  <si>
    <t>Am</t>
  </si>
  <si>
    <t>Center of gravity</t>
  </si>
  <si>
    <t>Y</t>
  </si>
  <si>
    <t>Dm</t>
  </si>
  <si>
    <t>mm</t>
  </si>
  <si>
    <t>mm2</t>
  </si>
  <si>
    <t>Im</t>
  </si>
  <si>
    <t>mm4</t>
  </si>
  <si>
    <t>Wm</t>
  </si>
  <si>
    <t>mm3</t>
  </si>
  <si>
    <t>Pe</t>
  </si>
  <si>
    <t>X</t>
  </si>
  <si>
    <t>K/S</t>
  </si>
  <si>
    <t>Cross-sectional area of stiffener</t>
  </si>
  <si>
    <t xml:space="preserve">Geometrical moment of inertia </t>
  </si>
  <si>
    <t>Section modulus</t>
  </si>
  <si>
    <t>Shell length</t>
  </si>
  <si>
    <t>Depth of head</t>
  </si>
  <si>
    <t>Number Of Buckling Ridges</t>
  </si>
  <si>
    <t>Yield Strength</t>
  </si>
  <si>
    <t>CALCULATIONS FOR PLASTIC DEFORMATION</t>
  </si>
  <si>
    <t>CALCULATIONS FOR ELASTIC BUCKLING</t>
  </si>
  <si>
    <t>Auxiliary Calculation Value</t>
  </si>
  <si>
    <t>N/mm2</t>
  </si>
  <si>
    <t xml:space="preserve"> </t>
  </si>
  <si>
    <t>İÇ TANK İÇİN HESAPLAMA YAPARKEN İÇ TANKIN GÖVDE BOYUNU YAZACAĞIZ. İÇ TANK ÇAPI VE İÇ TANKIN KALINLIĞINI YAZACAĞIZ. SONRASINDA EN KÜÇÜK BASINÇ DEĞERİNİ BAZ ALARAK DIŞ TANK TEST BASINCINI BULACAĞIZ.</t>
  </si>
  <si>
    <t>t</t>
  </si>
  <si>
    <t>P</t>
  </si>
  <si>
    <t>Dd</t>
  </si>
  <si>
    <t>incelme payı</t>
  </si>
  <si>
    <t>dış tank çapı</t>
  </si>
  <si>
    <t>bombe kalınlığı</t>
  </si>
  <si>
    <t>elastik burkulma katsayısı</t>
  </si>
  <si>
    <t>yenim payı</t>
  </si>
  <si>
    <t>&gt;</t>
  </si>
  <si>
    <t>DIŞ TANK BOMBESİ MİNİMUM KALINLIK HESABI(torisferik için 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</si>
</sst>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T_L_-;\-* #,##0.00\ _T_L_-;_-* &quot;-&quot;??\ _T_L_-;_-@_-"/>
    <numFmt numFmtId="164" formatCode="_-* #,##0\ _T_L_-;\-* #,##0\ _T_L_-;_-* &quot;-&quot;??\ _T_L_-;_-@_-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0" fillId="2" borderId="0" xfId="0" applyFill="1"/>
    <xf numFmtId="0" fontId="2" fillId="2" borderId="0" xfId="0" applyFont="1" applyFill="1"/>
    <xf numFmtId="0" fontId="0" fillId="0" borderId="0" xfId="0" applyFill="1"/>
    <xf numFmtId="0" fontId="5" fillId="0" borderId="0" xfId="0" applyFont="1" applyFill="1"/>
    <xf numFmtId="164" fontId="5" fillId="0" borderId="0" xfId="1" applyNumberFormat="1" applyFont="1" applyFill="1"/>
    <xf numFmtId="0" fontId="5" fillId="2" borderId="0" xfId="0" applyFont="1" applyFill="1"/>
    <xf numFmtId="164" fontId="5" fillId="2" borderId="0" xfId="1" applyNumberFormat="1" applyFont="1" applyFill="1"/>
    <xf numFmtId="164" fontId="5" fillId="2" borderId="0" xfId="0" applyNumberFormat="1" applyFont="1" applyFill="1"/>
    <xf numFmtId="0" fontId="6" fillId="0" borderId="0" xfId="0" applyFont="1"/>
    <xf numFmtId="0" fontId="3" fillId="0" borderId="0" xfId="0" applyFont="1"/>
    <xf numFmtId="0" fontId="0" fillId="3" borderId="0" xfId="0" applyFill="1"/>
    <xf numFmtId="0" fontId="0" fillId="0" borderId="4" xfId="0" applyFill="1" applyBorder="1"/>
    <xf numFmtId="0" fontId="0" fillId="0" borderId="0" xfId="0" applyFill="1" applyBorder="1"/>
    <xf numFmtId="0" fontId="0" fillId="0" borderId="0" xfId="0" applyBorder="1"/>
    <xf numFmtId="0" fontId="0" fillId="0" borderId="6" xfId="0" applyFill="1" applyBorder="1"/>
    <xf numFmtId="0" fontId="0" fillId="0" borderId="7" xfId="0" applyBorder="1"/>
    <xf numFmtId="0" fontId="0" fillId="0" borderId="7" xfId="0" applyBorder="1" applyAlignment="1"/>
    <xf numFmtId="164" fontId="0" fillId="0" borderId="0" xfId="1" applyNumberFormat="1" applyFont="1" applyFill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</cellXfs>
  <cellStyles count="2">
    <cellStyle name="Normal" xfId="0" builtinId="0"/>
    <cellStyle name="Virgül" xfId="1" builtinId="3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220980</xdr:colOff>
          <xdr:row>57</xdr:row>
          <xdr:rowOff>99060</xdr:rowOff>
        </xdr:from>
        <xdr:to>
          <xdr:col>2</xdr:col>
          <xdr:colOff>137160</xdr:colOff>
          <xdr:row>61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213360</xdr:colOff>
          <xdr:row>51</xdr:row>
          <xdr:rowOff>45720</xdr:rowOff>
        </xdr:from>
        <xdr:to>
          <xdr:col>2</xdr:col>
          <xdr:colOff>373380</xdr:colOff>
          <xdr:row>54</xdr:row>
          <xdr:rowOff>38100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68580</xdr:colOff>
          <xdr:row>19</xdr:row>
          <xdr:rowOff>114300</xdr:rowOff>
        </xdr:from>
        <xdr:to>
          <xdr:col>4</xdr:col>
          <xdr:colOff>121920</xdr:colOff>
          <xdr:row>25</xdr:row>
          <xdr:rowOff>144780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</xdr:colOff>
          <xdr:row>12</xdr:row>
          <xdr:rowOff>68580</xdr:rowOff>
        </xdr:from>
        <xdr:to>
          <xdr:col>1</xdr:col>
          <xdr:colOff>960120</xdr:colOff>
          <xdr:row>14</xdr:row>
          <xdr:rowOff>99060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144780</xdr:colOff>
          <xdr:row>7</xdr:row>
          <xdr:rowOff>30480</xdr:rowOff>
        </xdr:from>
        <xdr:to>
          <xdr:col>1</xdr:col>
          <xdr:colOff>1828800</xdr:colOff>
          <xdr:row>9</xdr:row>
          <xdr:rowOff>152400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198120</xdr:colOff>
          <xdr:row>31</xdr:row>
          <xdr:rowOff>45720</xdr:rowOff>
        </xdr:from>
        <xdr:to>
          <xdr:col>1</xdr:col>
          <xdr:colOff>3223260</xdr:colOff>
          <xdr:row>35</xdr:row>
          <xdr:rowOff>175260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w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wmf"/><Relationship Id="rId5" Type="http://schemas.openxmlformats.org/officeDocument/2006/relationships/image" Target="../media/image1.emf"/><Relationship Id="rId15" Type="http://schemas.openxmlformats.org/officeDocument/2006/relationships/image" Target="../media/image6.w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75"/>
  <sheetViews>
    <sheetView tabSelected="1" workbookViewId="0">
      <selection activeCell="D11" sqref="D11"/>
    </sheetView>
  </sheetViews>
  <sheetFormatPr defaultRowHeight="14.4" x14ac:dyDescent="0.3"/>
  <cols>
    <col min="2" max="2" width="52.88671875" bestFit="1" customWidth="1"/>
    <col min="3" max="3" width="6.33203125" bestFit="1" customWidth="1"/>
    <col min="4" max="4" width="23.109375" bestFit="1" customWidth="1"/>
    <col min="5" max="5" width="7.6640625" bestFit="1" customWidth="1"/>
  </cols>
  <sheetData>
    <row r="1" spans="2:12" ht="15" x14ac:dyDescent="0.25">
      <c r="B1" t="s">
        <v>53</v>
      </c>
      <c r="C1" t="s">
        <v>6</v>
      </c>
      <c r="D1" s="4">
        <v>4500</v>
      </c>
      <c r="E1" t="s">
        <v>41</v>
      </c>
      <c r="F1" s="2"/>
    </row>
    <row r="2" spans="2:12" x14ac:dyDescent="0.3">
      <c r="B2" t="s">
        <v>54</v>
      </c>
      <c r="C2" t="s">
        <v>7</v>
      </c>
      <c r="D2" s="4">
        <v>461</v>
      </c>
      <c r="E2" t="s">
        <v>41</v>
      </c>
      <c r="F2" s="2"/>
      <c r="H2" s="24" t="s">
        <v>62</v>
      </c>
      <c r="I2" s="24"/>
      <c r="J2" s="24"/>
      <c r="K2" s="24"/>
      <c r="L2" s="24"/>
    </row>
    <row r="3" spans="2:12" x14ac:dyDescent="0.3">
      <c r="B3" t="s">
        <v>25</v>
      </c>
      <c r="C3" t="s">
        <v>0</v>
      </c>
      <c r="D3" s="4">
        <v>1600</v>
      </c>
      <c r="E3" t="s">
        <v>41</v>
      </c>
      <c r="F3" s="2"/>
      <c r="H3" s="24"/>
      <c r="I3" s="24"/>
      <c r="J3" s="24"/>
      <c r="K3" s="24"/>
      <c r="L3" s="24"/>
    </row>
    <row r="4" spans="2:12" x14ac:dyDescent="0.3">
      <c r="B4" t="s">
        <v>26</v>
      </c>
      <c r="C4" t="s">
        <v>1</v>
      </c>
      <c r="D4" s="4">
        <v>750</v>
      </c>
      <c r="H4" s="24"/>
      <c r="I4" s="24"/>
      <c r="J4" s="24"/>
      <c r="K4" s="24"/>
      <c r="L4" s="24"/>
    </row>
    <row r="5" spans="2:12" x14ac:dyDescent="0.3">
      <c r="B5" t="s">
        <v>22</v>
      </c>
      <c r="C5" t="s">
        <v>2</v>
      </c>
      <c r="D5" s="4">
        <v>4</v>
      </c>
      <c r="E5" t="s">
        <v>41</v>
      </c>
      <c r="F5" s="2"/>
      <c r="H5" s="24"/>
      <c r="I5" s="24"/>
      <c r="J5" s="24"/>
      <c r="K5" s="24"/>
      <c r="L5" s="24"/>
    </row>
    <row r="6" spans="2:12" x14ac:dyDescent="0.3">
      <c r="B6" t="s">
        <v>23</v>
      </c>
      <c r="C6" t="s">
        <v>3</v>
      </c>
      <c r="D6" s="4">
        <v>0</v>
      </c>
      <c r="E6" t="s">
        <v>41</v>
      </c>
      <c r="F6" s="2"/>
      <c r="H6" s="24"/>
      <c r="I6" s="24"/>
      <c r="J6" s="24"/>
      <c r="K6" s="24"/>
      <c r="L6" s="24"/>
    </row>
    <row r="7" spans="2:12" x14ac:dyDescent="0.3">
      <c r="B7" t="s">
        <v>24</v>
      </c>
      <c r="C7" t="s">
        <v>4</v>
      </c>
      <c r="D7" s="4">
        <v>0</v>
      </c>
      <c r="E7" t="s">
        <v>41</v>
      </c>
      <c r="F7" s="2"/>
      <c r="H7" s="24"/>
      <c r="I7" s="24"/>
      <c r="J7" s="24"/>
      <c r="K7" s="24"/>
      <c r="L7" s="24"/>
    </row>
    <row r="8" spans="2:12" ht="15" x14ac:dyDescent="0.25">
      <c r="D8" s="4"/>
    </row>
    <row r="9" spans="2:12" ht="15" x14ac:dyDescent="0.25">
      <c r="D9" s="4"/>
    </row>
    <row r="10" spans="2:12" ht="15" x14ac:dyDescent="0.25">
      <c r="D10" s="4"/>
    </row>
    <row r="11" spans="2:12" ht="15" x14ac:dyDescent="0.25">
      <c r="B11" t="s">
        <v>55</v>
      </c>
      <c r="C11" t="s">
        <v>5</v>
      </c>
      <c r="D11">
        <f>1.63*((D3^3)/((D4^2)*(D5-D6-D7)))^(1/4)</f>
        <v>10.647115415297545</v>
      </c>
    </row>
    <row r="12" spans="2:12" ht="15" x14ac:dyDescent="0.25">
      <c r="B12" t="s">
        <v>55</v>
      </c>
      <c r="C12" t="s">
        <v>5</v>
      </c>
      <c r="D12">
        <f>ROUNDDOWN(D11,0)</f>
        <v>10</v>
      </c>
    </row>
    <row r="16" spans="2:12" ht="15" x14ac:dyDescent="0.25">
      <c r="B16" t="s">
        <v>59</v>
      </c>
      <c r="C16" t="s">
        <v>8</v>
      </c>
      <c r="D16">
        <f>0.5*PI()*D3/D4</f>
        <v>3.351032163829113</v>
      </c>
    </row>
    <row r="17" spans="2:6" ht="15" x14ac:dyDescent="0.25">
      <c r="B17" t="s">
        <v>20</v>
      </c>
      <c r="C17" t="s">
        <v>9</v>
      </c>
      <c r="D17" s="19">
        <v>206000</v>
      </c>
      <c r="E17" t="s">
        <v>60</v>
      </c>
      <c r="F17" s="2"/>
    </row>
    <row r="18" spans="2:6" ht="15.75" x14ac:dyDescent="0.25">
      <c r="B18" s="1" t="s">
        <v>21</v>
      </c>
      <c r="C18" t="s">
        <v>10</v>
      </c>
      <c r="D18">
        <v>2</v>
      </c>
    </row>
    <row r="19" spans="2:6" x14ac:dyDescent="0.3">
      <c r="B19" t="s">
        <v>27</v>
      </c>
      <c r="C19" t="s">
        <v>11</v>
      </c>
      <c r="D19">
        <v>0.3</v>
      </c>
    </row>
    <row r="28" spans="2:6" ht="15" x14ac:dyDescent="0.25">
      <c r="B28" t="s">
        <v>58</v>
      </c>
      <c r="C28" s="10" t="s">
        <v>12</v>
      </c>
      <c r="D28" s="10">
        <f>D17/D18*(20/((D12^2-1)*(1+(D12/D16)^2)^2)*(D5-D6-D7)/D3+80/(12*(1-D19^2))*(D12^2-1+(2*D12^2-1-D19)/(1+(D12/D16)^2))*((D5-D6-D7)/D3)^3)</f>
        <v>1.933963731847939</v>
      </c>
      <c r="E28" s="10" t="s">
        <v>18</v>
      </c>
    </row>
    <row r="29" spans="2:6" ht="15" x14ac:dyDescent="0.25">
      <c r="B29" t="s">
        <v>56</v>
      </c>
      <c r="C29" t="s">
        <v>14</v>
      </c>
      <c r="D29">
        <v>355</v>
      </c>
      <c r="E29" t="s">
        <v>60</v>
      </c>
    </row>
    <row r="30" spans="2:6" ht="15" x14ac:dyDescent="0.25">
      <c r="B30" t="s">
        <v>29</v>
      </c>
      <c r="C30" t="s">
        <v>15</v>
      </c>
      <c r="D30">
        <v>1.1000000000000001</v>
      </c>
    </row>
    <row r="31" spans="2:6" ht="15" x14ac:dyDescent="0.25">
      <c r="B31" t="s">
        <v>28</v>
      </c>
      <c r="C31" t="s">
        <v>16</v>
      </c>
      <c r="D31">
        <v>1.5</v>
      </c>
    </row>
    <row r="38" spans="2:5" ht="15" x14ac:dyDescent="0.25">
      <c r="B38" t="s">
        <v>57</v>
      </c>
      <c r="C38" s="11" t="s">
        <v>13</v>
      </c>
      <c r="D38" s="11">
        <f>20*D29/D30*(D5-D6-D7)/D3*1/(1+(1.5*D31*(1-0.2*(D3/D4))*D3)/(100*(D5-D6-D7)))</f>
        <v>2.6195395513577338</v>
      </c>
      <c r="E38" s="11" t="s">
        <v>18</v>
      </c>
    </row>
    <row r="39" spans="2:5" ht="15" x14ac:dyDescent="0.25">
      <c r="B39" t="s">
        <v>30</v>
      </c>
      <c r="C39" t="s">
        <v>17</v>
      </c>
      <c r="D39">
        <v>1.05</v>
      </c>
      <c r="E39" t="s">
        <v>18</v>
      </c>
    </row>
    <row r="40" spans="2:5" x14ac:dyDescent="0.3">
      <c r="B40" t="s">
        <v>31</v>
      </c>
      <c r="C40" s="12" t="s">
        <v>19</v>
      </c>
      <c r="D40" s="12" t="str">
        <f>IF(D39&gt;D28,"riskli destek ringi gerekli","riskyok")</f>
        <v>riskyok</v>
      </c>
    </row>
    <row r="41" spans="2:5" ht="15" x14ac:dyDescent="0.25">
      <c r="D41" t="s">
        <v>61</v>
      </c>
    </row>
    <row r="42" spans="2:5" x14ac:dyDescent="0.3">
      <c r="B42" t="s">
        <v>34</v>
      </c>
      <c r="C42" t="s">
        <v>33</v>
      </c>
      <c r="D42" s="3">
        <v>100</v>
      </c>
      <c r="E42" t="s">
        <v>41</v>
      </c>
    </row>
    <row r="43" spans="2:5" ht="15" x14ac:dyDescent="0.25">
      <c r="C43" t="s">
        <v>32</v>
      </c>
      <c r="D43">
        <f>D42/2</f>
        <v>50</v>
      </c>
      <c r="E43" t="s">
        <v>41</v>
      </c>
    </row>
    <row r="44" spans="2:5" x14ac:dyDescent="0.3">
      <c r="C44" t="s">
        <v>35</v>
      </c>
      <c r="D44">
        <f>1.1*SQRT(D3*(D5-D6-D7))</f>
        <v>88</v>
      </c>
      <c r="E44" t="s">
        <v>41</v>
      </c>
    </row>
    <row r="45" spans="2:5" x14ac:dyDescent="0.3">
      <c r="C45" t="s">
        <v>36</v>
      </c>
      <c r="D45" s="4">
        <f>D44+D43</f>
        <v>138</v>
      </c>
      <c r="E45" t="s">
        <v>41</v>
      </c>
    </row>
    <row r="46" spans="2:5" x14ac:dyDescent="0.3">
      <c r="B46" t="s">
        <v>50</v>
      </c>
      <c r="C46" s="5" t="s">
        <v>37</v>
      </c>
      <c r="D46" s="7">
        <v>1350</v>
      </c>
      <c r="E46" t="s">
        <v>42</v>
      </c>
    </row>
    <row r="47" spans="2:5" x14ac:dyDescent="0.3">
      <c r="B47" t="s">
        <v>38</v>
      </c>
      <c r="C47" s="5" t="s">
        <v>39</v>
      </c>
      <c r="D47" s="7">
        <v>29.3</v>
      </c>
      <c r="E47" t="s">
        <v>41</v>
      </c>
    </row>
    <row r="48" spans="2:5" x14ac:dyDescent="0.3">
      <c r="C48" s="5" t="s">
        <v>40</v>
      </c>
      <c r="D48" s="5">
        <f>D3-D47</f>
        <v>1570.7</v>
      </c>
      <c r="E48" t="s">
        <v>41</v>
      </c>
    </row>
    <row r="49" spans="2:5" x14ac:dyDescent="0.3">
      <c r="B49" t="s">
        <v>51</v>
      </c>
      <c r="C49" s="5" t="s">
        <v>43</v>
      </c>
      <c r="D49" s="9">
        <f>2.81*10000</f>
        <v>28100</v>
      </c>
      <c r="E49" t="s">
        <v>44</v>
      </c>
    </row>
    <row r="50" spans="2:5" x14ac:dyDescent="0.3">
      <c r="B50" t="s">
        <v>52</v>
      </c>
      <c r="C50" s="5" t="s">
        <v>45</v>
      </c>
      <c r="D50" s="8">
        <f>16.2*1000</f>
        <v>16200</v>
      </c>
      <c r="E50" t="s">
        <v>46</v>
      </c>
    </row>
    <row r="51" spans="2:5" x14ac:dyDescent="0.3">
      <c r="C51" s="5"/>
      <c r="D51" s="6"/>
    </row>
    <row r="52" spans="2:5" x14ac:dyDescent="0.3">
      <c r="C52" s="5"/>
      <c r="D52" s="6"/>
    </row>
    <row r="53" spans="2:5" x14ac:dyDescent="0.3">
      <c r="C53" s="5"/>
      <c r="D53" s="6"/>
    </row>
    <row r="54" spans="2:5" x14ac:dyDescent="0.3">
      <c r="C54" s="5"/>
      <c r="D54" s="6"/>
    </row>
    <row r="55" spans="2:5" x14ac:dyDescent="0.3">
      <c r="C55" s="5"/>
      <c r="D55" s="6"/>
    </row>
    <row r="56" spans="2:5" x14ac:dyDescent="0.3">
      <c r="C56" t="s">
        <v>47</v>
      </c>
      <c r="D56" s="4">
        <f>240*D17*D49/((1-D19^2)*(D3-D5+D6+D7)*D48^2*D4)</f>
        <v>0.51696691726815114</v>
      </c>
      <c r="E56" t="s">
        <v>60</v>
      </c>
    </row>
    <row r="57" spans="2:5" x14ac:dyDescent="0.3">
      <c r="D57" s="4"/>
    </row>
    <row r="58" spans="2:5" x14ac:dyDescent="0.3">
      <c r="D58" s="4"/>
    </row>
    <row r="59" spans="2:5" x14ac:dyDescent="0.3">
      <c r="D59" s="4"/>
    </row>
    <row r="60" spans="2:5" x14ac:dyDescent="0.3">
      <c r="D60" s="4"/>
    </row>
    <row r="61" spans="2:5" x14ac:dyDescent="0.3">
      <c r="D61" s="4"/>
    </row>
    <row r="62" spans="2:5" x14ac:dyDescent="0.3">
      <c r="D62" s="4"/>
    </row>
    <row r="63" spans="2:5" x14ac:dyDescent="0.3">
      <c r="C63" t="s">
        <v>48</v>
      </c>
      <c r="D63">
        <f>D39*D45*D3/(2*D46)+((D39*D4*D3^2)/(8000*D50)*D31/(1-D18*(D39/D56)))</f>
        <v>78.246761855765868</v>
      </c>
      <c r="E63" t="s">
        <v>60</v>
      </c>
    </row>
    <row r="64" spans="2:5" x14ac:dyDescent="0.3">
      <c r="C64" t="s">
        <v>49</v>
      </c>
      <c r="D64">
        <f>D29/D30</f>
        <v>322.72727272727269</v>
      </c>
      <c r="E64" t="s">
        <v>60</v>
      </c>
    </row>
    <row r="65" spans="3:8" x14ac:dyDescent="0.3">
      <c r="C65" s="12" t="s">
        <v>19</v>
      </c>
      <c r="D65" s="12" t="str">
        <f>IF(D64&gt;D63,"Bu ring uygundur","Buringyetersizdir")</f>
        <v>Bu ring uygundur</v>
      </c>
    </row>
    <row r="66" spans="3:8" x14ac:dyDescent="0.3">
      <c r="C66" s="4"/>
      <c r="D66" s="4"/>
    </row>
    <row r="67" spans="3:8" ht="15" thickBot="1" x14ac:dyDescent="0.35">
      <c r="C67" s="4"/>
      <c r="D67" s="4"/>
    </row>
    <row r="68" spans="3:8" ht="15" customHeight="1" x14ac:dyDescent="0.3">
      <c r="C68" s="25" t="s">
        <v>72</v>
      </c>
      <c r="D68" s="26"/>
      <c r="E68" s="26"/>
      <c r="F68" s="26"/>
      <c r="G68" s="26"/>
      <c r="H68" s="27"/>
    </row>
    <row r="69" spans="3:8" ht="15" thickBot="1" x14ac:dyDescent="0.35">
      <c r="C69" s="28"/>
      <c r="D69" s="29"/>
      <c r="E69" s="29"/>
      <c r="F69" s="29"/>
      <c r="G69" s="29"/>
      <c r="H69" s="30"/>
    </row>
    <row r="70" spans="3:8" x14ac:dyDescent="0.3">
      <c r="C70" s="13" t="s">
        <v>3</v>
      </c>
      <c r="D70" s="14">
        <v>0</v>
      </c>
      <c r="E70" s="15" t="s">
        <v>41</v>
      </c>
      <c r="F70" s="20" t="s">
        <v>70</v>
      </c>
      <c r="G70" s="20"/>
      <c r="H70" s="21"/>
    </row>
    <row r="71" spans="3:8" x14ac:dyDescent="0.3">
      <c r="C71" s="13" t="s">
        <v>4</v>
      </c>
      <c r="D71" s="14">
        <v>0.4</v>
      </c>
      <c r="E71" s="15" t="s">
        <v>41</v>
      </c>
      <c r="F71" s="20" t="s">
        <v>66</v>
      </c>
      <c r="G71" s="20"/>
      <c r="H71" s="21"/>
    </row>
    <row r="72" spans="3:8" x14ac:dyDescent="0.3">
      <c r="C72" s="13" t="s">
        <v>65</v>
      </c>
      <c r="D72" s="14">
        <v>3000</v>
      </c>
      <c r="E72" s="15" t="s">
        <v>41</v>
      </c>
      <c r="F72" s="20" t="s">
        <v>67</v>
      </c>
      <c r="G72" s="20"/>
      <c r="H72" s="21"/>
    </row>
    <row r="73" spans="3:8" x14ac:dyDescent="0.3">
      <c r="C73" s="13" t="s">
        <v>63</v>
      </c>
      <c r="D73" s="14">
        <v>7</v>
      </c>
      <c r="E73" s="15" t="s">
        <v>41</v>
      </c>
      <c r="F73" s="20" t="s">
        <v>68</v>
      </c>
      <c r="G73" s="20"/>
      <c r="H73" s="21"/>
    </row>
    <row r="74" spans="3:8" x14ac:dyDescent="0.3">
      <c r="C74" s="13" t="s">
        <v>10</v>
      </c>
      <c r="D74" s="15">
        <f>2+0.0014*D72/D73</f>
        <v>2.6</v>
      </c>
      <c r="E74" s="15"/>
      <c r="F74" s="20" t="s">
        <v>69</v>
      </c>
      <c r="G74" s="20"/>
      <c r="H74" s="21"/>
    </row>
    <row r="75" spans="3:8" ht="15" thickBot="1" x14ac:dyDescent="0.35">
      <c r="C75" s="16" t="s">
        <v>64</v>
      </c>
      <c r="D75" s="17">
        <f>3.66*(D17/D74)*((D73-D70-D71)/D72)^2</f>
        <v>1.4035255384615384</v>
      </c>
      <c r="E75" s="17" t="s">
        <v>71</v>
      </c>
      <c r="F75" s="18">
        <v>1.03</v>
      </c>
      <c r="G75" s="22" t="str">
        <f>IF(D75&gt;F75, "uygun", "uygun değil" )</f>
        <v>uygun</v>
      </c>
      <c r="H75" s="23"/>
    </row>
  </sheetData>
  <mergeCells count="8">
    <mergeCell ref="F72:H72"/>
    <mergeCell ref="F73:H73"/>
    <mergeCell ref="F74:H74"/>
    <mergeCell ref="G75:H75"/>
    <mergeCell ref="H2:L7"/>
    <mergeCell ref="F70:H70"/>
    <mergeCell ref="F71:H71"/>
    <mergeCell ref="C68:H69"/>
  </mergeCells>
  <conditionalFormatting sqref="G75:H75">
    <cfRule type="containsText" dxfId="1" priority="2" operator="containsText" text="uygun">
      <formula>NOT(ISERROR(SEARCH("uygun",G75)))</formula>
    </cfRule>
    <cfRule type="containsText" dxfId="0" priority="1" operator="containsText" text="uygun değil">
      <formula>NOT(ISERROR(SEARCH("uygun değil",G75)))</formula>
    </cfRule>
  </conditionalFormatting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6" r:id="rId4">
          <objectPr defaultSize="0" r:id="rId5">
            <anchor moveWithCells="1" sizeWithCells="1">
              <from>
                <xdr:col>1</xdr:col>
                <xdr:colOff>220980</xdr:colOff>
                <xdr:row>57</xdr:row>
                <xdr:rowOff>99060</xdr:rowOff>
              </from>
              <to>
                <xdr:col>2</xdr:col>
                <xdr:colOff>137160</xdr:colOff>
                <xdr:row>61</xdr:row>
                <xdr:rowOff>0</xdr:rowOff>
              </to>
            </anchor>
          </objectPr>
        </oleObject>
      </mc:Choice>
      <mc:Fallback>
        <oleObject progId="Equation.3" shapeId="1026" r:id="rId4"/>
      </mc:Fallback>
    </mc:AlternateContent>
    <mc:AlternateContent xmlns:mc="http://schemas.openxmlformats.org/markup-compatibility/2006">
      <mc:Choice Requires="x14">
        <oleObject progId="Equation.3" shapeId="1027" r:id="rId6">
          <objectPr defaultSize="0" r:id="rId7">
            <anchor moveWithCells="1" sizeWithCells="1">
              <from>
                <xdr:col>1</xdr:col>
                <xdr:colOff>213360</xdr:colOff>
                <xdr:row>51</xdr:row>
                <xdr:rowOff>45720</xdr:rowOff>
              </from>
              <to>
                <xdr:col>2</xdr:col>
                <xdr:colOff>373380</xdr:colOff>
                <xdr:row>54</xdr:row>
                <xdr:rowOff>38100</xdr:rowOff>
              </to>
            </anchor>
          </objectPr>
        </oleObject>
      </mc:Choice>
      <mc:Fallback>
        <oleObject progId="Equation.3" shapeId="1027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</xdr:col>
                <xdr:colOff>68580</xdr:colOff>
                <xdr:row>19</xdr:row>
                <xdr:rowOff>114300</xdr:rowOff>
              </from>
              <to>
                <xdr:col>4</xdr:col>
                <xdr:colOff>121920</xdr:colOff>
                <xdr:row>25</xdr:row>
                <xdr:rowOff>144780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</xdr:col>
                <xdr:colOff>114300</xdr:colOff>
                <xdr:row>12</xdr:row>
                <xdr:rowOff>68580</xdr:rowOff>
              </from>
              <to>
                <xdr:col>1</xdr:col>
                <xdr:colOff>960120</xdr:colOff>
                <xdr:row>14</xdr:row>
                <xdr:rowOff>99060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</xdr:col>
                <xdr:colOff>144780</xdr:colOff>
                <xdr:row>7</xdr:row>
                <xdr:rowOff>30480</xdr:rowOff>
              </from>
              <to>
                <xdr:col>1</xdr:col>
                <xdr:colOff>1828800</xdr:colOff>
                <xdr:row>9</xdr:row>
                <xdr:rowOff>152400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</xdr:col>
                <xdr:colOff>198120</xdr:colOff>
                <xdr:row>31</xdr:row>
                <xdr:rowOff>45720</xdr:rowOff>
              </from>
              <to>
                <xdr:col>1</xdr:col>
                <xdr:colOff>3223260</xdr:colOff>
                <xdr:row>35</xdr:row>
                <xdr:rowOff>175260</xdr:rowOff>
              </to>
            </anchor>
          </objectPr>
        </oleObject>
      </mc:Choice>
      <mc:Fallback>
        <oleObject progId="Equation.3" shapeId="1032" r:id="rId1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Ali</dc:creator>
  <cp:lastModifiedBy>Ferdi Seker</cp:lastModifiedBy>
  <dcterms:created xsi:type="dcterms:W3CDTF">2012-12-03T10:59:59Z</dcterms:created>
  <dcterms:modified xsi:type="dcterms:W3CDTF">2014-08-29T10:42:38Z</dcterms:modified>
</cp:coreProperties>
</file>